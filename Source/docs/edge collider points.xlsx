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Repos\SonicTheHedgehogFan\Source\docs\"/>
    </mc:Choice>
  </mc:AlternateContent>
  <xr:revisionPtr revIDLastSave="0" documentId="13_ncr:1_{ECF63E36-ADCD-4DA3-BFAE-63DA84E6CF7C}" xr6:coauthVersionLast="47" xr6:coauthVersionMax="47" xr10:uidLastSave="{00000000-0000-0000-0000-000000000000}"/>
  <bookViews>
    <workbookView xWindow="-120" yWindow="-120" windowWidth="29040" windowHeight="16440" tabRatio="294" activeTab="1" xr2:uid="{00000000-000D-0000-FFFF-FFFF00000000}"/>
  </bookViews>
  <sheets>
    <sheet name="Arcs" sheetId="1" r:id="rId1"/>
    <sheet name="Slo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 a="1"/>
  <c r="L22" i="2" s="1"/>
  <c r="M22" i="2" a="1"/>
  <c r="M22" i="2" s="1"/>
  <c r="L21" i="2" a="1"/>
  <c r="L21" i="2" s="1"/>
  <c r="M21" i="2" a="1"/>
  <c r="M21" i="2"/>
  <c r="M20" i="2" a="1"/>
  <c r="M20" i="2" s="1"/>
  <c r="L20" i="2" a="1"/>
  <c r="L20" i="2" s="1"/>
  <c r="M19" i="2" a="1"/>
  <c r="M19" i="2" s="1"/>
  <c r="L19" i="2" a="1"/>
  <c r="L19" i="2" s="1"/>
  <c r="M18" i="2" a="1"/>
  <c r="M18" i="2" s="1"/>
  <c r="L18" i="2" a="1"/>
  <c r="L18" i="2" s="1"/>
  <c r="M17" i="2" a="1"/>
  <c r="M17" i="2" s="1"/>
  <c r="L17" i="2" a="1"/>
  <c r="L17" i="2" s="1"/>
  <c r="M16" i="2" a="1"/>
  <c r="M16" i="2" s="1"/>
  <c r="L16" i="2" a="1"/>
  <c r="L16" i="2" s="1"/>
  <c r="M15" i="2" a="1"/>
  <c r="M15" i="2" s="1"/>
  <c r="L15" i="2" a="1"/>
  <c r="L15" i="2" s="1"/>
  <c r="L5" i="2" a="1"/>
  <c r="L5" i="2"/>
  <c r="M5" i="2" a="1"/>
  <c r="M5" i="2"/>
  <c r="L6" i="2" a="1"/>
  <c r="L6" i="2"/>
  <c r="M6" i="2" a="1"/>
  <c r="M6" i="2" s="1"/>
  <c r="L7" i="2" a="1"/>
  <c r="L7" i="2"/>
  <c r="M7" i="2" a="1"/>
  <c r="M7" i="2"/>
  <c r="L8" i="2" a="1"/>
  <c r="L8" i="2"/>
  <c r="M8" i="2" a="1"/>
  <c r="M8" i="2" s="1"/>
  <c r="L9" i="2" a="1"/>
  <c r="L9" i="2"/>
  <c r="M9" i="2" a="1"/>
  <c r="M9" i="2"/>
  <c r="L4" i="2" a="1"/>
  <c r="L4" i="2" s="1"/>
  <c r="M4" i="2" a="1"/>
  <c r="M4" i="2" s="1"/>
  <c r="P4" i="1"/>
  <c r="P5" i="1"/>
  <c r="P6" i="1"/>
  <c r="P7" i="1"/>
  <c r="P8" i="1"/>
  <c r="P9" i="1"/>
  <c r="P10" i="1"/>
  <c r="P11" i="1"/>
  <c r="O4" i="1"/>
  <c r="O5" i="1"/>
  <c r="O6" i="1"/>
  <c r="O7" i="1"/>
  <c r="O8" i="1"/>
  <c r="O9" i="1"/>
  <c r="O10" i="1"/>
  <c r="O11" i="1"/>
  <c r="N4" i="1"/>
  <c r="N5" i="1"/>
  <c r="N6" i="1"/>
  <c r="N7" i="1"/>
  <c r="N8" i="1"/>
  <c r="N9" i="1"/>
  <c r="N10" i="1"/>
  <c r="N11" i="1"/>
  <c r="M4" i="1"/>
  <c r="M5" i="1"/>
  <c r="M6" i="1"/>
  <c r="M7" i="1"/>
  <c r="M8" i="1"/>
  <c r="M9" i="1"/>
  <c r="M10" i="1"/>
  <c r="M11" i="1"/>
  <c r="K5" i="1"/>
  <c r="K6" i="1"/>
  <c r="K7" i="1"/>
  <c r="K8" i="1"/>
  <c r="K9" i="1"/>
  <c r="K10" i="1"/>
  <c r="K11" i="1"/>
  <c r="K4" i="1"/>
  <c r="L5" i="1"/>
  <c r="L6" i="1"/>
  <c r="L7" i="1"/>
  <c r="L8" i="1"/>
  <c r="L9" i="1"/>
  <c r="L10" i="1"/>
  <c r="L11" i="1"/>
  <c r="L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<sst xmlns="http://schemas.openxmlformats.org/spreadsheetml/2006/main" count="29" uniqueCount="19">
  <si>
    <t>X</t>
  </si>
  <si>
    <t>Y</t>
  </si>
  <si>
    <t>DR</t>
  </si>
  <si>
    <t>DL</t>
  </si>
  <si>
    <t>UR</t>
  </si>
  <si>
    <t>UL</t>
  </si>
  <si>
    <t>Arc 1</t>
  </si>
  <si>
    <t>X2</t>
  </si>
  <si>
    <t>Y3</t>
  </si>
  <si>
    <t>Y2</t>
  </si>
  <si>
    <t>X4</t>
  </si>
  <si>
    <t>Y5</t>
  </si>
  <si>
    <t>X6</t>
  </si>
  <si>
    <t>Y7</t>
  </si>
  <si>
    <t>L</t>
  </si>
  <si>
    <t>R</t>
  </si>
  <si>
    <t>Slope 1</t>
  </si>
  <si>
    <t>n</t>
  </si>
  <si>
    <t>Slope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</si>
</sst>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5"/>
      <name val="Aptos"/>
      <family val="2"/>
    </font>
    <font>
      <b/>
      <sz val="11"/>
      <color rgb="FF0070C0"/>
      <name val="Aptos"/>
      <family val="2"/>
    </font>
    <font>
      <b/>
      <sz val="11"/>
      <color rgb="FF7030A0"/>
      <name val="Aptos"/>
      <family val="2"/>
    </font>
    <font>
      <b/>
      <sz val="11"/>
      <color rgb="FFFF0000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DR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Arcs!$I$4:$I$11</c:f>
              <c:numCache>
                <c:formatCode>General</c:formatCode>
                <c:ptCount val="8"/>
                <c:pt idx="0">
                  <c:v>-1</c:v>
                </c:pt>
                <c:pt idx="1">
                  <c:v>-0.7</c:v>
                </c:pt>
                <c:pt idx="2">
                  <c:v>-0.2</c:v>
                </c:pt>
                <c:pt idx="3">
                  <c:v>0.25</c:v>
                </c:pt>
                <c:pt idx="4">
                  <c:v>0.5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Arcs!$J$4:$J$11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-0.8</c:v>
                </c:pt>
                <c:pt idx="3">
                  <c:v>-0.5</c:v>
                </c:pt>
                <c:pt idx="4">
                  <c:v>-0.25</c:v>
                </c:pt>
                <c:pt idx="5">
                  <c:v>0.2</c:v>
                </c:pt>
                <c:pt idx="6">
                  <c:v>0.7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3-4A33-BB14-6D7D8E60F730}"/>
            </c:ext>
          </c:extLst>
        </c:ser>
        <c:ser>
          <c:idx val="1"/>
          <c:order val="1"/>
          <c:tx>
            <c:v>DL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Arcs!$K$4:$K$11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-0.8</c:v>
                </c:pt>
                <c:pt idx="3">
                  <c:v>-0.5</c:v>
                </c:pt>
                <c:pt idx="4">
                  <c:v>-0.25</c:v>
                </c:pt>
                <c:pt idx="5">
                  <c:v>0.2</c:v>
                </c:pt>
                <c:pt idx="6">
                  <c:v>0.7</c:v>
                </c:pt>
                <c:pt idx="7">
                  <c:v>1</c:v>
                </c:pt>
              </c:numCache>
            </c:numRef>
          </c:xVal>
          <c:yVal>
            <c:numRef>
              <c:f>Arcs!$L$4:$L$11</c:f>
              <c:numCache>
                <c:formatCode>General</c:formatCode>
                <c:ptCount val="8"/>
                <c:pt idx="0">
                  <c:v>1</c:v>
                </c:pt>
                <c:pt idx="1">
                  <c:v>0.7</c:v>
                </c:pt>
                <c:pt idx="2">
                  <c:v>0.2</c:v>
                </c:pt>
                <c:pt idx="3">
                  <c:v>-0.25</c:v>
                </c:pt>
                <c:pt idx="4">
                  <c:v>-0.5</c:v>
                </c:pt>
                <c:pt idx="5">
                  <c:v>-0.8</c:v>
                </c:pt>
                <c:pt idx="6">
                  <c:v>-1</c:v>
                </c:pt>
                <c:pt idx="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F3-4A33-BB14-6D7D8E60F730}"/>
            </c:ext>
          </c:extLst>
        </c:ser>
        <c:ser>
          <c:idx val="2"/>
          <c:order val="2"/>
          <c:tx>
            <c:v>UR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Arcs!$M$4:$M$11</c:f>
              <c:numCache>
                <c:formatCode>General</c:formatCode>
                <c:ptCount val="8"/>
                <c:pt idx="0">
                  <c:v>-1</c:v>
                </c:pt>
                <c:pt idx="1">
                  <c:v>-0.7</c:v>
                </c:pt>
                <c:pt idx="2">
                  <c:v>-0.2</c:v>
                </c:pt>
                <c:pt idx="3">
                  <c:v>0.25</c:v>
                </c:pt>
                <c:pt idx="4">
                  <c:v>0.5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</c:numCache>
            </c:numRef>
          </c:xVal>
          <c:yVal>
            <c:numRef>
              <c:f>Arcs!$N$4:$N$11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0.5</c:v>
                </c:pt>
                <c:pt idx="4">
                  <c:v>0.25</c:v>
                </c:pt>
                <c:pt idx="5">
                  <c:v>-0.2</c:v>
                </c:pt>
                <c:pt idx="6">
                  <c:v>-0.7</c:v>
                </c:pt>
                <c:pt idx="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F3-4A33-BB14-6D7D8E60F730}"/>
            </c:ext>
          </c:extLst>
        </c:ser>
        <c:ser>
          <c:idx val="3"/>
          <c:order val="3"/>
          <c:tx>
            <c:v>UL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Arcs!$O$4:$O$11</c:f>
              <c:numCache>
                <c:formatCode>General</c:formatCode>
                <c:ptCount val="8"/>
                <c:pt idx="0">
                  <c:v>-1</c:v>
                </c:pt>
                <c:pt idx="1">
                  <c:v>-1</c:v>
                </c:pt>
                <c:pt idx="2">
                  <c:v>-0.8</c:v>
                </c:pt>
                <c:pt idx="3">
                  <c:v>-0.5</c:v>
                </c:pt>
                <c:pt idx="4">
                  <c:v>-0.25</c:v>
                </c:pt>
                <c:pt idx="5">
                  <c:v>0.2</c:v>
                </c:pt>
                <c:pt idx="6">
                  <c:v>0.7</c:v>
                </c:pt>
                <c:pt idx="7">
                  <c:v>1</c:v>
                </c:pt>
              </c:numCache>
            </c:numRef>
          </c:xVal>
          <c:yVal>
            <c:numRef>
              <c:f>Arcs!$P$4:$P$11</c:f>
              <c:numCache>
                <c:formatCode>General</c:formatCode>
                <c:ptCount val="8"/>
                <c:pt idx="0">
                  <c:v>-1</c:v>
                </c:pt>
                <c:pt idx="1">
                  <c:v>-0.7</c:v>
                </c:pt>
                <c:pt idx="2">
                  <c:v>-0.2</c:v>
                </c:pt>
                <c:pt idx="3">
                  <c:v>0.25</c:v>
                </c:pt>
                <c:pt idx="4">
                  <c:v>0.5</c:v>
                </c:pt>
                <c:pt idx="5">
                  <c:v>0.8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F3-4A33-BB14-6D7D8E60F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837759"/>
        <c:axId val="656832479"/>
      </c:scatterChart>
      <c:valAx>
        <c:axId val="6568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2479"/>
        <c:crosses val="autoZero"/>
        <c:crossBetween val="midCat"/>
      </c:valAx>
      <c:valAx>
        <c:axId val="6568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Slopes!$J$4:$J$9</c:f>
              <c:numCache>
                <c:formatCode>General</c:formatCode>
                <c:ptCount val="6"/>
                <c:pt idx="0">
                  <c:v>-1</c:v>
                </c:pt>
                <c:pt idx="1">
                  <c:v>0</c:v>
                </c:pt>
                <c:pt idx="2">
                  <c:v>0.5</c:v>
                </c:pt>
                <c:pt idx="3">
                  <c:v>2.15</c:v>
                </c:pt>
                <c:pt idx="4">
                  <c:v>2.9</c:v>
                </c:pt>
                <c:pt idx="5">
                  <c:v>3.9</c:v>
                </c:pt>
              </c:numCache>
            </c:numRef>
          </c:xVal>
          <c:yVal>
            <c:numRef>
              <c:f>Slopes!$K$4:$K$9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0.15</c:v>
                </c:pt>
                <c:pt idx="3">
                  <c:v>1.25</c:v>
                </c:pt>
                <c:pt idx="4">
                  <c:v>1.5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4B-4BC5-965B-998EFE63AC0E}"/>
            </c:ext>
          </c:extLst>
        </c:ser>
        <c:ser>
          <c:idx val="1"/>
          <c:order val="1"/>
          <c:tx>
            <c:v>R1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Slopes!$L$4:$L$9</c:f>
              <c:numCache>
                <c:formatCode>General</c:formatCode>
                <c:ptCount val="6"/>
                <c:pt idx="0">
                  <c:v>-1</c:v>
                </c:pt>
                <c:pt idx="1">
                  <c:v>0</c:v>
                </c:pt>
                <c:pt idx="2">
                  <c:v>0.75</c:v>
                </c:pt>
                <c:pt idx="3">
                  <c:v>2.4</c:v>
                </c:pt>
                <c:pt idx="4">
                  <c:v>2.9</c:v>
                </c:pt>
                <c:pt idx="5">
                  <c:v>3.9000000000000004</c:v>
                </c:pt>
              </c:numCache>
            </c:numRef>
          </c:xVal>
          <c:yVal>
            <c:numRef>
              <c:f>Slopes!$M$4:$M$9</c:f>
              <c:numCache>
                <c:formatCode>General</c:formatCode>
                <c:ptCount val="6"/>
                <c:pt idx="0">
                  <c:v>1.5</c:v>
                </c:pt>
                <c:pt idx="1">
                  <c:v>1.5</c:v>
                </c:pt>
                <c:pt idx="2">
                  <c:v>1.25</c:v>
                </c:pt>
                <c:pt idx="3">
                  <c:v>0.15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4B-4BC5-965B-998EFE63A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837759"/>
        <c:axId val="656832479"/>
      </c:scatterChart>
      <c:valAx>
        <c:axId val="6568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2479"/>
        <c:crosses val="autoZero"/>
        <c:crossBetween val="midCat"/>
      </c:valAx>
      <c:valAx>
        <c:axId val="6568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L1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Slopes!$J$15:$J$22</c:f>
              <c:numCache>
                <c:formatCode>General</c:formatCode>
                <c:ptCount val="8"/>
                <c:pt idx="0">
                  <c:v>0</c:v>
                </c:pt>
                <c:pt idx="1">
                  <c:v>0.6</c:v>
                </c:pt>
                <c:pt idx="2">
                  <c:v>1</c:v>
                </c:pt>
                <c:pt idx="3">
                  <c:v>1.36</c:v>
                </c:pt>
                <c:pt idx="4">
                  <c:v>2.75</c:v>
                </c:pt>
                <c:pt idx="5">
                  <c:v>3.15</c:v>
                </c:pt>
                <c:pt idx="6">
                  <c:v>3.75</c:v>
                </c:pt>
                <c:pt idx="7">
                  <c:v>4.5</c:v>
                </c:pt>
              </c:numCache>
            </c:numRef>
          </c:xVal>
          <c:yVal>
            <c:numRef>
              <c:f>Slopes!$K$15:$K$22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0.17</c:v>
                </c:pt>
                <c:pt idx="3">
                  <c:v>0.5</c:v>
                </c:pt>
                <c:pt idx="4">
                  <c:v>2.5</c:v>
                </c:pt>
                <c:pt idx="5">
                  <c:v>2.8</c:v>
                </c:pt>
                <c:pt idx="6">
                  <c:v>3</c:v>
                </c:pt>
                <c:pt idx="7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9E-47C2-90B1-FF4C973EB2A4}"/>
            </c:ext>
          </c:extLst>
        </c:ser>
        <c:ser>
          <c:idx val="1"/>
          <c:order val="1"/>
          <c:tx>
            <c:v>R1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Slopes!$L$15:$L$22</c:f>
              <c:numCache>
                <c:formatCode>General</c:formatCode>
                <c:ptCount val="8"/>
                <c:pt idx="0">
                  <c:v>-1</c:v>
                </c:pt>
                <c:pt idx="1">
                  <c:v>-0.25</c:v>
                </c:pt>
                <c:pt idx="2">
                  <c:v>0.35000000000000009</c:v>
                </c:pt>
                <c:pt idx="3">
                  <c:v>0.75</c:v>
                </c:pt>
                <c:pt idx="4">
                  <c:v>2.1399999999999997</c:v>
                </c:pt>
                <c:pt idx="5">
                  <c:v>2.5</c:v>
                </c:pt>
                <c:pt idx="6">
                  <c:v>2.9</c:v>
                </c:pt>
                <c:pt idx="7">
                  <c:v>3.5</c:v>
                </c:pt>
              </c:numCache>
            </c:numRef>
          </c:xVal>
          <c:yVal>
            <c:numRef>
              <c:f>Slopes!$M$15:$M$22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2.8</c:v>
                </c:pt>
                <c:pt idx="3">
                  <c:v>2.5</c:v>
                </c:pt>
                <c:pt idx="4">
                  <c:v>0.5</c:v>
                </c:pt>
                <c:pt idx="5">
                  <c:v>0.17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9E-47C2-90B1-FF4C973E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837759"/>
        <c:axId val="656832479"/>
      </c:scatterChart>
      <c:valAx>
        <c:axId val="65683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2479"/>
        <c:crosses val="autoZero"/>
        <c:crossBetween val="midCat"/>
      </c:valAx>
      <c:valAx>
        <c:axId val="6568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3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142874</xdr:colOff>
      <xdr:row>1</xdr:row>
      <xdr:rowOff>42861</xdr:rowOff>
    </xdr:from>
    <xdr:to>
      <xdr:col>22</xdr:col>
      <xdr:colOff>85274</xdr:colOff>
      <xdr:row>20</xdr:row>
      <xdr:rowOff>23361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9921D-3038-1BCA-295E-41CBC65B702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209550</xdr:colOff>
      <xdr:row>1</xdr:row>
      <xdr:rowOff>123826</xdr:rowOff>
    </xdr:from>
    <xdr:to>
      <xdr:col>19</xdr:col>
      <xdr:colOff>381000</xdr:colOff>
      <xdr:row>9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A6796-36AB-4743-AB24-B509BCAB1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295275</xdr:colOff>
      <xdr:row>11</xdr:row>
      <xdr:rowOff>114301</xdr:rowOff>
    </xdr:from>
    <xdr:to>
      <xdr:col>19</xdr:col>
      <xdr:colOff>171450</xdr:colOff>
      <xdr:row>24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126D8-8C8E-44FF-847A-9FC58C2DE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D4BF1-C3DB-497C-B6A8-5B67F5AFD14A}" name="Table1" displayName="Table1" ref="I3:P11" totalsRowShown="0">
  <autoFilter ref="I3:P11" xr:uid="{81AD4BF1-C3DB-497C-B6A8-5B67F5AFD14A}"/>
  <tableColumns count="8">
    <tableColumn id="1" xr3:uid="{C2EE1AC7-E64F-4C80-8C39-E1DF6D41E3E7}" name="X"/>
    <tableColumn id="2" xr3:uid="{C4B3F586-F85A-4904-A47B-1E04B04F9BCA}" name="Y"/>
    <tableColumn id="3" xr3:uid="{73B367E3-093C-4685-A730-06738D271AFC}" name="X2">
      <calculatedColumnFormula>J4</calculatedColumnFormula>
    </tableColumn>
    <tableColumn id="4" xr3:uid="{B4DA9531-DAA8-440F-A4F7-1651AEF7C9D0}" name="Y3">
      <calculatedColumnFormula>I4*-1</calculatedColumnFormula>
    </tableColumn>
    <tableColumn id="5" xr3:uid="{930412DB-E20E-4C7B-805D-500FF36DE3BC}" name="X4" dataDxfId="7">
      <calculatedColumnFormula>Table1[[#This Row],[X]]</calculatedColumnFormula>
    </tableColumn>
    <tableColumn id="6" xr3:uid="{C51AFF9F-B38E-4E0C-B646-38CC0AD62AF1}" name="Y5" dataDxfId="6">
      <calculatedColumnFormula>Table1[[#This Row],[Y]]*-1</calculatedColumnFormula>
    </tableColumn>
    <tableColumn id="7" xr3:uid="{F2DFE805-3168-4ADE-9BA5-29432CA43DB0}" name="X6" dataDxfId="5">
      <calculatedColumnFormula>Table1[[#This Row],[Y]]</calculatedColumnFormula>
    </tableColumn>
    <tableColumn id="8" xr3:uid="{4C1F46B4-FC82-48FE-967B-BB4B620F9340}" name="Y7" dataDxfId="4">
      <calculatedColumnFormula>Table1[[#This Row],[X]]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6565F-4C3F-4401-8AE4-442FB61F0E0C}" name="Table2" displayName="Table2" ref="I3:M9" totalsRowShown="0">
  <autoFilter ref="I3:M9" xr:uid="{3866565F-4C3F-4401-8AE4-442FB61F0E0C}"/>
  <tableColumns count="5">
    <tableColumn id="1" xr3:uid="{365FA2AD-0A1E-4C5C-A2D8-54BCA54BF5DE}" name="n"/>
    <tableColumn id="5" xr3:uid="{69A97531-E11B-43D5-AD5D-570F4F494085}" name="X"/>
    <tableColumn id="2" xr3:uid="{E254CC5E-8892-4D40-99B6-622F493BEF38}" name="Y"/>
    <tableColumn id="3" xr3:uid="{EB0823E3-57E4-4B80-8BB2-C463F15F2FC6}" name="X2" dataDxfId="3">
      <calculatedColumnFormula array="1">INDEX(Table2[X],MAX(Table2[n])-Table2[[#This Row],[n]]+1)*-1+MAX(Table2[X])-1</calculatedColumnFormula>
    </tableColumn>
    <tableColumn id="4" xr3:uid="{AAA31200-1775-4C5F-BB07-79082177C57E}" name="Y2" dataDxfId="2">
      <calculatedColumnFormula array="1">INDEX(Table2[Y],MAX(Table2[n])-Table2[[#This Row],[n]]+1)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E12B01-AFE2-482E-B396-92521B54F75F}" name="Table24" displayName="Table24" ref="I14:M22" totalsRowShown="0">
  <autoFilter ref="I14:M22" xr:uid="{62E12B01-AFE2-482E-B396-92521B54F75F}"/>
  <tableColumns count="5">
    <tableColumn id="1" xr3:uid="{DC063686-E555-4FAD-8221-EAAB386345AB}" name="n"/>
    <tableColumn id="5" xr3:uid="{2BE63AD5-D0DA-4863-8F32-A3C9DAC74E3E}" name="X"/>
    <tableColumn id="2" xr3:uid="{7B95F362-67D7-43EE-996D-1D7C17F604C4}" name="Y"/>
    <tableColumn id="3" xr3:uid="{F72EF3AE-EC55-42AA-95EE-40A102D5B2D0}" name="X2" dataDxfId="1">
      <calculatedColumnFormula array="1">INDEX(Table24[X],MAX(Table24[n])-Table24[[#This Row],[n]]+1)*-1+MAX(Table24[X])-1</calculatedColumnFormula>
    </tableColumn>
    <tableColumn id="4" xr3:uid="{0B5E9AAF-A05D-40DB-86C6-05E429311B97}" name="Y2" dataDxfId="0">
      <calculatedColumnFormula array="1">INDEX(Table24[Y],MAX(Table24[n])-Table24[[#This Row],[n]]+1)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P17"/>
  <sheetViews>
    <sheetView topLeftCell="B1" workbookViewId="0">
      <selection activeCell="Y9" sqref="Y9"/>
    </sheetView>
  </sheetViews>
  <sheetFormatPr defaultRowHeight="15" x14ac:dyDescent="0.25"/>
  <cols>
    <col min="9" max="16" width="7.28515625" customWidth="1"/>
  </cols>
  <sheetData>
    <row r="1" spans="9:16" x14ac:dyDescent="0.25">
      <c r="I1" s="5" t="s">
        <v>6</v>
      </c>
    </row>
    <row r="2" spans="9:16" s="6" customFormat="1" x14ac:dyDescent="0.25">
      <c r="I2" s="2" t="s">
        <v>2</v>
      </c>
      <c r="K2" s="3" t="s">
        <v>3</v>
      </c>
      <c r="M2" s="1" t="s">
        <v>4</v>
      </c>
      <c r="O2" s="4" t="s">
        <v>5</v>
      </c>
    </row>
    <row r="3" spans="9:16" x14ac:dyDescent="0.25">
      <c r="I3" t="s">
        <v>0</v>
      </c>
      <c r="J3" t="s">
        <v>1</v>
      </c>
      <c r="K3" t="s">
        <v>7</v>
      </c>
      <c r="L3" t="s">
        <v>8</v>
      </c>
      <c r="M3" t="s">
        <v>10</v>
      </c>
      <c r="N3" t="s">
        <v>11</v>
      </c>
      <c r="O3" t="s">
        <v>12</v>
      </c>
      <c r="P3" t="s">
        <v>13</v>
      </c>
    </row>
    <row r="4" spans="9:16" x14ac:dyDescent="0.25">
      <c r="I4">
        <v>-1</v>
      </c>
      <c r="J4">
        <v>-1</v>
      </c>
      <c r="K4">
        <f>J4</f>
        <v>-1</v>
      </c>
      <c r="L4">
        <f t="shared" ref="L4:L11" si="0">I4*-1</f>
        <v>1</v>
      </c>
      <c r="M4">
        <f>Table1[[#This Row],[X]]</f>
        <v>-1</v>
      </c>
      <c r="N4">
        <f>Table1[[#This Row],[Y]]*-1</f>
        <v>1</v>
      </c>
      <c r="O4">
        <f>Table1[[#This Row],[Y]]</f>
        <v>-1</v>
      </c>
      <c r="P4">
        <f>Table1[[#This Row],[X]]</f>
        <v>-1</v>
      </c>
    </row>
    <row r="5" spans="9:16" x14ac:dyDescent="0.25">
      <c r="I5">
        <v>-0.7</v>
      </c>
      <c r="J5">
        <v>-1</v>
      </c>
      <c r="K5">
        <f t="shared" ref="K5:K11" si="1">J5</f>
        <v>-1</v>
      </c>
      <c r="L5">
        <f t="shared" si="0"/>
        <v>0.7</v>
      </c>
      <c r="M5">
        <f>Table1[[#This Row],[X]]</f>
        <v>-0.7</v>
      </c>
      <c r="N5">
        <f>Table1[[#This Row],[Y]]*-1</f>
        <v>1</v>
      </c>
      <c r="O5">
        <f>Table1[[#This Row],[Y]]</f>
        <v>-1</v>
      </c>
      <c r="P5">
        <f>Table1[[#This Row],[X]]</f>
        <v>-0.7</v>
      </c>
    </row>
    <row r="6" spans="9:16" x14ac:dyDescent="0.25">
      <c r="I6">
        <v>-0.2</v>
      </c>
      <c r="J6">
        <v>-0.8</v>
      </c>
      <c r="K6">
        <f t="shared" si="1"/>
        <v>-0.8</v>
      </c>
      <c r="L6">
        <f t="shared" si="0"/>
        <v>0.2</v>
      </c>
      <c r="M6">
        <f>Table1[[#This Row],[X]]</f>
        <v>-0.2</v>
      </c>
      <c r="N6">
        <f>Table1[[#This Row],[Y]]*-1</f>
        <v>0.8</v>
      </c>
      <c r="O6">
        <f>Table1[[#This Row],[Y]]</f>
        <v>-0.8</v>
      </c>
      <c r="P6">
        <f>Table1[[#This Row],[X]]</f>
        <v>-0.2</v>
      </c>
    </row>
    <row r="7" spans="9:16" x14ac:dyDescent="0.25">
      <c r="I7">
        <v>0.25</v>
      </c>
      <c r="J7">
        <v>-0.5</v>
      </c>
      <c r="K7">
        <f t="shared" si="1"/>
        <v>-0.5</v>
      </c>
      <c r="L7">
        <f t="shared" si="0"/>
        <v>-0.25</v>
      </c>
      <c r="M7">
        <f>Table1[[#This Row],[X]]</f>
        <v>0.25</v>
      </c>
      <c r="N7">
        <f>Table1[[#This Row],[Y]]*-1</f>
        <v>0.5</v>
      </c>
      <c r="O7">
        <f>Table1[[#This Row],[Y]]</f>
        <v>-0.5</v>
      </c>
      <c r="P7">
        <f>Table1[[#This Row],[X]]</f>
        <v>0.25</v>
      </c>
    </row>
    <row r="8" spans="9:16" x14ac:dyDescent="0.25">
      <c r="I8">
        <v>0.5</v>
      </c>
      <c r="J8">
        <v>-0.25</v>
      </c>
      <c r="K8">
        <f t="shared" si="1"/>
        <v>-0.25</v>
      </c>
      <c r="L8">
        <f t="shared" si="0"/>
        <v>-0.5</v>
      </c>
      <c r="M8">
        <f>Table1[[#This Row],[X]]</f>
        <v>0.5</v>
      </c>
      <c r="N8">
        <f>Table1[[#This Row],[Y]]*-1</f>
        <v>0.25</v>
      </c>
      <c r="O8">
        <f>Table1[[#This Row],[Y]]</f>
        <v>-0.25</v>
      </c>
      <c r="P8">
        <f>Table1[[#This Row],[X]]</f>
        <v>0.5</v>
      </c>
    </row>
    <row r="9" spans="9:16" x14ac:dyDescent="0.25">
      <c r="I9">
        <v>0.8</v>
      </c>
      <c r="J9">
        <v>0.2</v>
      </c>
      <c r="K9">
        <f t="shared" si="1"/>
        <v>0.2</v>
      </c>
      <c r="L9">
        <f t="shared" si="0"/>
        <v>-0.8</v>
      </c>
      <c r="M9">
        <f>Table1[[#This Row],[X]]</f>
        <v>0.8</v>
      </c>
      <c r="N9">
        <f>Table1[[#This Row],[Y]]*-1</f>
        <v>-0.2</v>
      </c>
      <c r="O9">
        <f>Table1[[#This Row],[Y]]</f>
        <v>0.2</v>
      </c>
      <c r="P9">
        <f>Table1[[#This Row],[X]]</f>
        <v>0.8</v>
      </c>
    </row>
    <row r="10" spans="9:16" x14ac:dyDescent="0.25">
      <c r="I10">
        <v>1</v>
      </c>
      <c r="J10">
        <v>0.7</v>
      </c>
      <c r="K10">
        <f t="shared" si="1"/>
        <v>0.7</v>
      </c>
      <c r="L10">
        <f t="shared" si="0"/>
        <v>-1</v>
      </c>
      <c r="M10">
        <f>Table1[[#This Row],[X]]</f>
        <v>1</v>
      </c>
      <c r="N10">
        <f>Table1[[#This Row],[Y]]*-1</f>
        <v>-0.7</v>
      </c>
      <c r="O10">
        <f>Table1[[#This Row],[Y]]</f>
        <v>0.7</v>
      </c>
      <c r="P10">
        <f>Table1[[#This Row],[X]]</f>
        <v>1</v>
      </c>
    </row>
    <row r="11" spans="9:16" x14ac:dyDescent="0.25">
      <c r="I11">
        <v>1</v>
      </c>
      <c r="J11">
        <v>1</v>
      </c>
      <c r="K11">
        <f t="shared" si="1"/>
        <v>1</v>
      </c>
      <c r="L11">
        <f t="shared" si="0"/>
        <v>-1</v>
      </c>
      <c r="M11">
        <f>Table1[[#This Row],[X]]</f>
        <v>1</v>
      </c>
      <c r="N11">
        <f>Table1[[#This Row],[Y]]*-1</f>
        <v>-1</v>
      </c>
      <c r="O11">
        <f>Table1[[#This Row],[Y]]</f>
        <v>1</v>
      </c>
      <c r="P11">
        <f>Table1[[#This Row],[X]]</f>
        <v>1</v>
      </c>
    </row>
    <row r="12" spans="9:16" x14ac:dyDescent="0.25">
      <c r="I12" s="1"/>
    </row>
    <row r="13" spans="9:16" x14ac:dyDescent="0.25">
      <c r="I13" s="1"/>
    </row>
    <row r="14" spans="9:16" x14ac:dyDescent="0.25">
      <c r="I14" s="1"/>
    </row>
    <row r="15" spans="9:16" x14ac:dyDescent="0.25">
      <c r="I15" s="1"/>
    </row>
    <row r="16" spans="9:16" x14ac:dyDescent="0.25">
      <c r="I16" s="1"/>
      <c r="K16" s="4"/>
    </row>
    <row r="17" spans="9:11" x14ac:dyDescent="0.25">
      <c r="I17" s="1"/>
      <c r="K17" s="4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9C1B-3DC9-48FB-B8F0-4E3C8835405B}">
  <dimension ref="I1:M22"/>
  <sheetViews>
    <sheetView tabSelected="1" topLeftCell="B1" workbookViewId="0">
      <selection activeCell="V16" sqref="V16"/>
    </sheetView>
  </sheetViews>
  <sheetFormatPr defaultRowHeight="15" x14ac:dyDescent="0.25"/>
  <cols>
    <col min="9" max="9" width="5.28515625" customWidth="1"/>
  </cols>
  <sheetData>
    <row r="1" spans="9:13" x14ac:dyDescent="0.25">
      <c r="J1" s="5" t="s">
        <v>16</v>
      </c>
    </row>
    <row r="2" spans="9:13" s="2" customFormat="1" x14ac:dyDescent="0.25">
      <c r="J2" s="2" t="s">
        <v>14</v>
      </c>
      <c r="L2" s="3" t="s">
        <v>15</v>
      </c>
    </row>
    <row r="3" spans="9:13" x14ac:dyDescent="0.25">
      <c r="I3" t="s">
        <v>17</v>
      </c>
      <c r="J3" t="s">
        <v>0</v>
      </c>
      <c r="K3" t="s">
        <v>1</v>
      </c>
      <c r="L3" t="s">
        <v>7</v>
      </c>
      <c r="M3" t="s">
        <v>9</v>
      </c>
    </row>
    <row r="4" spans="9:13" x14ac:dyDescent="0.25">
      <c r="I4">
        <v>1</v>
      </c>
      <c r="J4">
        <v>-1</v>
      </c>
      <c r="K4">
        <v>0</v>
      </c>
      <c r="L4" cm="1">
        <f t="array" ref="L4">INDEX(Table2[X],MAX(Table2[n])-Table2[[#This Row],[n]]+1)*-1+MAX(Table2[X])-1</f>
        <v>-1</v>
      </c>
      <c r="M4" cm="1">
        <f t="array" ref="M4">INDEX(Table2[Y],MAX(Table2[n])-Table2[[#This Row],[n]]+1)</f>
        <v>1.5</v>
      </c>
    </row>
    <row r="5" spans="9:13" x14ac:dyDescent="0.25">
      <c r="I5">
        <v>2</v>
      </c>
      <c r="J5">
        <v>0</v>
      </c>
      <c r="K5">
        <v>0</v>
      </c>
      <c r="L5" cm="1">
        <f t="array" ref="L5">INDEX(Table2[X],MAX(Table2[n])-Table2[[#This Row],[n]]+1)*-1+MAX(Table2[X])-1</f>
        <v>0</v>
      </c>
      <c r="M5" cm="1">
        <f t="array" ref="M5">INDEX(Table2[Y],MAX(Table2[n])-Table2[[#This Row],[n]]+1)</f>
        <v>1.5</v>
      </c>
    </row>
    <row r="6" spans="9:13" x14ac:dyDescent="0.25">
      <c r="I6">
        <v>3</v>
      </c>
      <c r="J6">
        <v>0.5</v>
      </c>
      <c r="K6">
        <v>0.15</v>
      </c>
      <c r="L6" cm="1">
        <f t="array" ref="L6">INDEX(Table2[X],MAX(Table2[n])-Table2[[#This Row],[n]]+1)*-1+MAX(Table2[X])-1</f>
        <v>0.75</v>
      </c>
      <c r="M6" cm="1">
        <f t="array" ref="M6">INDEX(Table2[Y],MAX(Table2[n])-Table2[[#This Row],[n]]+1)</f>
        <v>1.25</v>
      </c>
    </row>
    <row r="7" spans="9:13" x14ac:dyDescent="0.25">
      <c r="I7">
        <v>4</v>
      </c>
      <c r="J7">
        <v>2.15</v>
      </c>
      <c r="K7">
        <v>1.25</v>
      </c>
      <c r="L7" cm="1">
        <f t="array" ref="L7">INDEX(Table2[X],MAX(Table2[n])-Table2[[#This Row],[n]]+1)*-1+MAX(Table2[X])-1</f>
        <v>2.4</v>
      </c>
      <c r="M7" cm="1">
        <f t="array" ref="M7">INDEX(Table2[Y],MAX(Table2[n])-Table2[[#This Row],[n]]+1)</f>
        <v>0.15</v>
      </c>
    </row>
    <row r="8" spans="9:13" x14ac:dyDescent="0.25">
      <c r="I8">
        <v>5</v>
      </c>
      <c r="J8">
        <v>2.9</v>
      </c>
      <c r="K8">
        <v>1.5</v>
      </c>
      <c r="L8" cm="1">
        <f t="array" ref="L8">INDEX(Table2[X],MAX(Table2[n])-Table2[[#This Row],[n]]+1)*-1+MAX(Table2[X])-1</f>
        <v>2.9</v>
      </c>
      <c r="M8" cm="1">
        <f t="array" ref="M8">INDEX(Table2[Y],MAX(Table2[n])-Table2[[#This Row],[n]]+1)</f>
        <v>0</v>
      </c>
    </row>
    <row r="9" spans="9:13" x14ac:dyDescent="0.25">
      <c r="I9">
        <v>6</v>
      </c>
      <c r="J9">
        <v>3.9</v>
      </c>
      <c r="K9">
        <v>1.5</v>
      </c>
      <c r="L9" cm="1">
        <f t="array" ref="L9">INDEX(Table2[X],MAX(Table2[n])-Table2[[#This Row],[n]]+1)*-1+MAX(Table2[X])-1</f>
        <v>3.9000000000000004</v>
      </c>
      <c r="M9" cm="1">
        <f t="array" ref="M9">INDEX(Table2[Y],MAX(Table2[n])-Table2[[#This Row],[n]]+1)</f>
        <v>0</v>
      </c>
    </row>
    <row r="12" spans="9:13" x14ac:dyDescent="0.25">
      <c r="J12" s="5" t="s">
        <v>18</v>
      </c>
    </row>
    <row r="13" spans="9:13" x14ac:dyDescent="0.25">
      <c r="I13" s="2"/>
      <c r="J13" s="2" t="s">
        <v>14</v>
      </c>
      <c r="K13" s="2"/>
      <c r="L13" s="3" t="s">
        <v>15</v>
      </c>
      <c r="M13" s="2"/>
    </row>
    <row r="14" spans="9:13" x14ac:dyDescent="0.25">
      <c r="I14" t="s">
        <v>17</v>
      </c>
      <c r="J14" t="s">
        <v>0</v>
      </c>
      <c r="K14" t="s">
        <v>1</v>
      </c>
      <c r="L14" t="s">
        <v>7</v>
      </c>
      <c r="M14" t="s">
        <v>9</v>
      </c>
    </row>
    <row r="15" spans="9:13" x14ac:dyDescent="0.25">
      <c r="I15">
        <v>1</v>
      </c>
      <c r="J15">
        <v>0</v>
      </c>
      <c r="K15">
        <v>0</v>
      </c>
      <c r="L15" cm="1">
        <f t="array" ref="L15">INDEX(Table24[X],MAX(Table24[n])-Table24[[#This Row],[n]]+1)*-1+MAX(Table24[X])-1</f>
        <v>-1</v>
      </c>
      <c r="M15" cm="1">
        <f t="array" ref="M15">INDEX(Table24[Y],MAX(Table24[n])-Table24[[#This Row],[n]]+1)</f>
        <v>3</v>
      </c>
    </row>
    <row r="16" spans="9:13" x14ac:dyDescent="0.25">
      <c r="I16">
        <v>2</v>
      </c>
      <c r="J16">
        <v>0.6</v>
      </c>
      <c r="K16">
        <v>0</v>
      </c>
      <c r="L16" cm="1">
        <f t="array" ref="L16">INDEX(Table24[X],MAX(Table24[n])-Table24[[#This Row],[n]]+1)*-1+MAX(Table24[X])-1</f>
        <v>-0.25</v>
      </c>
      <c r="M16" cm="1">
        <f t="array" ref="M16">INDEX(Table24[Y],MAX(Table24[n])-Table24[[#This Row],[n]]+1)</f>
        <v>3</v>
      </c>
    </row>
    <row r="17" spans="9:13" x14ac:dyDescent="0.25">
      <c r="I17">
        <v>3</v>
      </c>
      <c r="J17">
        <v>1</v>
      </c>
      <c r="K17">
        <v>0.17</v>
      </c>
      <c r="L17" cm="1">
        <f t="array" ref="L17">INDEX(Table24[X],MAX(Table24[n])-Table24[[#This Row],[n]]+1)*-1+MAX(Table24[X])-1</f>
        <v>0.35000000000000009</v>
      </c>
      <c r="M17" cm="1">
        <f t="array" ref="M17">INDEX(Table24[Y],MAX(Table24[n])-Table24[[#This Row],[n]]+1)</f>
        <v>2.8</v>
      </c>
    </row>
    <row r="18" spans="9:13" x14ac:dyDescent="0.25">
      <c r="I18">
        <v>4</v>
      </c>
      <c r="J18">
        <v>1.36</v>
      </c>
      <c r="K18">
        <v>0.5</v>
      </c>
      <c r="L18" cm="1">
        <f t="array" ref="L18">INDEX(Table24[X],MAX(Table24[n])-Table24[[#This Row],[n]]+1)*-1+MAX(Table24[X])-1</f>
        <v>0.75</v>
      </c>
      <c r="M18" cm="1">
        <f t="array" ref="M18">INDEX(Table24[Y],MAX(Table24[n])-Table24[[#This Row],[n]]+1)</f>
        <v>2.5</v>
      </c>
    </row>
    <row r="19" spans="9:13" x14ac:dyDescent="0.25">
      <c r="I19">
        <v>5</v>
      </c>
      <c r="J19">
        <v>2.75</v>
      </c>
      <c r="K19">
        <v>2.5</v>
      </c>
      <c r="L19" cm="1">
        <f t="array" ref="L19">INDEX(Table24[X],MAX(Table24[n])-Table24[[#This Row],[n]]+1)*-1+MAX(Table24[X])-1</f>
        <v>2.1399999999999997</v>
      </c>
      <c r="M19" cm="1">
        <f t="array" ref="M19">INDEX(Table24[Y],MAX(Table24[n])-Table24[[#This Row],[n]]+1)</f>
        <v>0.5</v>
      </c>
    </row>
    <row r="20" spans="9:13" x14ac:dyDescent="0.25">
      <c r="I20">
        <v>6</v>
      </c>
      <c r="J20">
        <v>3.15</v>
      </c>
      <c r="K20">
        <v>2.8</v>
      </c>
      <c r="L20" cm="1">
        <f t="array" ref="L20">INDEX(Table24[X],MAX(Table24[n])-Table24[[#This Row],[n]]+1)*-1+MAX(Table24[X])-1</f>
        <v>2.5</v>
      </c>
      <c r="M20" cm="1">
        <f t="array" ref="M20">INDEX(Table24[Y],MAX(Table24[n])-Table24[[#This Row],[n]]+1)</f>
        <v>0.17</v>
      </c>
    </row>
    <row r="21" spans="9:13" x14ac:dyDescent="0.25">
      <c r="I21">
        <v>7</v>
      </c>
      <c r="J21">
        <v>3.75</v>
      </c>
      <c r="K21">
        <v>3</v>
      </c>
      <c r="L21" s="7" cm="1">
        <f t="array" ref="L21">INDEX(Table24[X],MAX(Table24[n])-Table24[[#This Row],[n]]+1)*-1+MAX(Table24[X])-1</f>
        <v>2.9</v>
      </c>
      <c r="M21" s="7" cm="1">
        <f t="array" ref="M21">INDEX(Table24[Y],MAX(Table24[n])-Table24[[#This Row],[n]]+1)</f>
        <v>0</v>
      </c>
    </row>
    <row r="22" spans="9:13" x14ac:dyDescent="0.25">
      <c r="I22">
        <v>8</v>
      </c>
      <c r="J22">
        <v>4.5</v>
      </c>
      <c r="K22">
        <v>3</v>
      </c>
      <c r="L22" s="7" cm="1">
        <f t="array" ref="L22">INDEX(Table24[X],MAX(Table24[n])-Table24[[#This Row],[n]]+1)*-1+MAX(Table24[X])-1</f>
        <v>3.5</v>
      </c>
      <c r="M22" s="7" cm="1">
        <f t="array" ref="M22">INDEX(Table24[Y],MAX(Table24[n])-Table24[[#This Row],[n]]+1)</f>
        <v>0</v>
      </c>
    </row>
  </sheetData>
  <pageMargins left="0.7" right="0.7" top="0.75" bottom="0.75" header="0.3" footer="0.3"/>
  <pageSetup paperSize="0" orientation="portrait" horizontalDpi="0" verticalDpi="0" copies="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Arcs</vt:lpstr>
      <vt:lpstr>Slopes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Neomaster X</cp:lastModifiedBy>
  <dcterms:created xsi:type="dcterms:W3CDTF">2015-06-05T18:17:20Z</dcterms:created>
  <dcterms:modified xsi:type="dcterms:W3CDTF">2026-07-25T04:51:48Z</dcterms:modified>
</cp:coreProperties>
</file>